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mith\Downloads\"/>
    </mc:Choice>
  </mc:AlternateContent>
  <xr:revisionPtr revIDLastSave="0" documentId="13_ncr:1_{DAACBB53-9D3F-445E-ACF9-C6FE3E9B8239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Price vs. Demand" sheetId="1" r:id="rId1"/>
  </sheets>
  <definedNames>
    <definedName name="solver_adj" localSheetId="0" hidden="1">'Price vs. Demand'!$O$24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'Price vs. Demand'!$O$26</definedName>
    <definedName name="solver_lhs2" localSheetId="0" hidden="1">'Price vs. Demand'!$O$17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'Price vs. Demand'!$O$27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50000</definedName>
    <definedName name="solver_rhs2" localSheetId="0" hidden="1">30000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xdata1" hidden="1">0+(ROW(OFFSET(#REF!,0,0,200,1))-1)*0.150753768844221</definedName>
    <definedName name="xdata11" hidden="1">-0.0819844155844156+(ROW(OFFSET(#REF!,0,0,70,1))-1)*0.0080144551101073</definedName>
    <definedName name="xdata3" hidden="1">3+(ROW(OFFSET(#REF!,0,0,70,1))-1)*0.347826086956522</definedName>
    <definedName name="xdata5" hidden="1">3+(ROW(OFFSET(#REF!,0,0,100,1))-1)*0.242424242424242</definedName>
    <definedName name="xdata7" hidden="1">3+(ROW(OFFSET(#REF!,0,0,100,1))-1)*0.242424242424242</definedName>
    <definedName name="xdata9" hidden="1">-0.0867535930735931+(ROW(OFFSET(#REF!,0,0,70,1))-1)*0.0080835736244432</definedName>
    <definedName name="ydata10" hidden="1">0+1*[0]!xdata9-0.200087706570232*(1.04761904761905+([0]!xdata9-0.162095238095238)^2/0.17363847965368)^0.5</definedName>
    <definedName name="ydata12" hidden="1">0+1*[0]!xdata11+0.200087706570232*(1.04761904761905+([0]!xdata11-0.162095238095238)^2/0.17363847965368)^0.5</definedName>
    <definedName name="ydata2" hidden="1">1.80553686906056*EXP(-0.2123594796139*[0]!xdata1)</definedName>
    <definedName name="ydata4" hidden="1">0.507718614718615+-0.0230415584415584*[0]!xdata3+0.200087706570232*(0.0476190476190476+([0]!xdata3-15)^2/770)^0.5</definedName>
    <definedName name="ydata6" hidden="1">0.507718614718615+-0.0230415584415584*[0]!xdata5-0.200087706570232*(1.04761904761905+([0]!xdata5-15)^2/770)^0.5</definedName>
    <definedName name="ydata8" hidden="1">0.507718614718615+-0.0230415584415584*[0]!xdata7+0.200087706570232*(1.04761904761905+([0]!xdata7-15)^2/770)^0.5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1" l="1"/>
  <c r="O26" i="1" s="1"/>
  <c r="O27" i="1" s="1"/>
  <c r="L25" i="1"/>
  <c r="L26" i="1" s="1"/>
  <c r="L27" i="1" s="1"/>
  <c r="O16" i="1"/>
  <c r="O17" i="1" s="1"/>
  <c r="L16" i="1"/>
  <c r="O18" i="1" l="1"/>
  <c r="L17" i="1"/>
  <c r="L18" i="1" s="1"/>
  <c r="O8" i="1"/>
  <c r="O9" i="1" s="1"/>
  <c r="O10" i="1" s="1"/>
  <c r="L8" i="1"/>
  <c r="L9" i="1" s="1"/>
  <c r="L10" i="1" s="1"/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6" i="1"/>
  <c r="E7" i="1" l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6" i="1"/>
  <c r="F7" i="1" l="1"/>
  <c r="G7" i="1"/>
  <c r="F8" i="1"/>
  <c r="G8" i="1"/>
  <c r="H8" i="1" s="1"/>
  <c r="F9" i="1"/>
  <c r="G9" i="1"/>
  <c r="F10" i="1"/>
  <c r="G10" i="1"/>
  <c r="H10" i="1" s="1"/>
  <c r="F11" i="1"/>
  <c r="G11" i="1"/>
  <c r="F12" i="1"/>
  <c r="G12" i="1"/>
  <c r="H12" i="1" s="1"/>
  <c r="F13" i="1"/>
  <c r="G13" i="1"/>
  <c r="F14" i="1"/>
  <c r="G14" i="1"/>
  <c r="H14" i="1" s="1"/>
  <c r="F15" i="1"/>
  <c r="G15" i="1"/>
  <c r="F16" i="1"/>
  <c r="G16" i="1"/>
  <c r="H16" i="1" s="1"/>
  <c r="F17" i="1"/>
  <c r="G17" i="1"/>
  <c r="F18" i="1"/>
  <c r="G18" i="1"/>
  <c r="H18" i="1" s="1"/>
  <c r="F19" i="1"/>
  <c r="G19" i="1"/>
  <c r="F20" i="1"/>
  <c r="G20" i="1"/>
  <c r="H20" i="1" s="1"/>
  <c r="F21" i="1"/>
  <c r="G21" i="1"/>
  <c r="F22" i="1"/>
  <c r="G22" i="1"/>
  <c r="H22" i="1" s="1"/>
  <c r="F23" i="1"/>
  <c r="G23" i="1"/>
  <c r="F24" i="1"/>
  <c r="G24" i="1"/>
  <c r="H24" i="1" s="1"/>
  <c r="F25" i="1"/>
  <c r="G25" i="1"/>
  <c r="F26" i="1"/>
  <c r="G26" i="1"/>
  <c r="H26" i="1" s="1"/>
  <c r="G6" i="1"/>
  <c r="F6" i="1"/>
  <c r="H6" i="1" l="1"/>
  <c r="H25" i="1"/>
  <c r="H23" i="1"/>
  <c r="H21" i="1"/>
  <c r="H19" i="1"/>
  <c r="H17" i="1"/>
  <c r="H15" i="1"/>
  <c r="H13" i="1"/>
  <c r="H11" i="1"/>
  <c r="H9" i="1"/>
  <c r="H7" i="1"/>
</calcChain>
</file>

<file path=xl/sharedStrings.xml><?xml version="1.0" encoding="utf-8"?>
<sst xmlns="http://schemas.openxmlformats.org/spreadsheetml/2006/main" count="56" uniqueCount="27">
  <si>
    <t>Price</t>
  </si>
  <si>
    <t>% Purchased</t>
  </si>
  <si>
    <t>Predicted Sales</t>
  </si>
  <si>
    <t>Revenue</t>
  </si>
  <si>
    <t>Profit</t>
  </si>
  <si>
    <t>Book Cost</t>
  </si>
  <si>
    <t>Assumptions</t>
  </si>
  <si>
    <t>Customers</t>
  </si>
  <si>
    <t>Publisher Cost</t>
  </si>
  <si>
    <t>Profit Margin</t>
  </si>
  <si>
    <t>Predicted % Purchased</t>
  </si>
  <si>
    <t>% Purchased = a * price ^ b</t>
  </si>
  <si>
    <t>a</t>
  </si>
  <si>
    <t>b</t>
  </si>
  <si>
    <t>Power Regression Model</t>
  </si>
  <si>
    <t>Regression Analysis</t>
  </si>
  <si>
    <t>Harry Potter 7 Data</t>
  </si>
  <si>
    <t>Optimization Analysis</t>
  </si>
  <si>
    <t>2a-i</t>
  </si>
  <si>
    <t>Publisher Price</t>
  </si>
  <si>
    <t>Book Price</t>
  </si>
  <si>
    <t>Predicted %</t>
  </si>
  <si>
    <t>Predicted Books</t>
  </si>
  <si>
    <t>BEFORE SOLVER</t>
  </si>
  <si>
    <t>AFTER SOLVER</t>
  </si>
  <si>
    <t>2a-ii</t>
  </si>
  <si>
    <t>2a-iii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</si>
</sst>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</numFmts>
  <fonts count="8">
    <font>
      <sz val="11"/>
      <color theme="1"/>
      <name val="Calibri"/>
      <family val="2"/>
      <scheme val="minor"/>
    </font>
    <font>
      <sz val="10"/>
      <color theme="1"/>
      <name val="Open Sans"/>
      <family val="2"/>
    </font>
    <font>
      <sz val="10"/>
      <color theme="1"/>
      <name val="Open Sans"/>
      <family val="2"/>
    </font>
    <font>
      <sz val="11"/>
      <color theme="1"/>
      <name val="Calibri"/>
      <family val="2"/>
      <scheme val="minor"/>
    </font>
    <font>
      <sz val="10"/>
      <color rgb="FF3F3F76"/>
      <name val="Open Sans"/>
      <family val="2"/>
    </font>
    <font>
      <b/>
      <sz val="10"/>
      <color theme="1"/>
      <name val="Open Sans"/>
      <family val="2"/>
    </font>
    <font>
      <b/>
      <sz val="10"/>
      <color theme="1"/>
      <name val="Open Sans"/>
    </font>
    <font>
      <b/>
      <sz val="10"/>
      <color theme="0"/>
      <name val="Open Sans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1" applyNumberFormat="0" applyAlignment="0" applyProtection="0"/>
  </cellStyleXfs>
  <cellXfs count="22">
    <xf numFmtId="0" fontId="0" fillId="0" borderId="0" xfId="0"/>
    <xf numFmtId="0" fontId="5" fillId="0" borderId="0" xfId="0" applyFont="1" applyAlignment="1">
      <alignment horizontal="centerContinuous"/>
    </xf>
    <xf numFmtId="0" fontId="2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right"/>
    </xf>
    <xf numFmtId="44" fontId="2" fillId="0" borderId="0" xfId="2" applyFont="1"/>
    <xf numFmtId="9" fontId="2" fillId="0" borderId="0" xfId="3" applyNumberFormat="1" applyFont="1"/>
    <xf numFmtId="164" fontId="2" fillId="0" borderId="0" xfId="1" applyNumberFormat="1" applyFont="1"/>
    <xf numFmtId="165" fontId="2" fillId="0" borderId="0" xfId="0" applyNumberFormat="1" applyFont="1"/>
    <xf numFmtId="0" fontId="5" fillId="0" borderId="0" xfId="0" applyFont="1"/>
    <xf numFmtId="8" fontId="4" fillId="2" borderId="1" xfId="4" applyNumberFormat="1" applyFont="1"/>
    <xf numFmtId="3" fontId="4" fillId="2" borderId="1" xfId="4" applyNumberFormat="1" applyFont="1"/>
    <xf numFmtId="4" fontId="2" fillId="0" borderId="0" xfId="3" applyNumberFormat="1" applyFont="1"/>
    <xf numFmtId="6" fontId="2" fillId="0" borderId="0" xfId="0" applyNumberFormat="1" applyFont="1"/>
    <xf numFmtId="165" fontId="2" fillId="0" borderId="0" xfId="3" applyNumberFormat="1" applyFont="1"/>
    <xf numFmtId="0" fontId="1" fillId="0" borderId="0" xfId="0" applyFont="1"/>
    <xf numFmtId="8" fontId="2" fillId="0" borderId="0" xfId="0" applyNumberFormat="1" applyFont="1"/>
    <xf numFmtId="0" fontId="5" fillId="3" borderId="0" xfId="0" applyFont="1" applyFill="1" applyAlignment="1">
      <alignment horizontal="center"/>
    </xf>
    <xf numFmtId="0" fontId="6" fillId="0" borderId="2" xfId="0" applyFont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5" fillId="0" borderId="0" xfId="0" applyFont="1" applyBorder="1" applyAlignment="1">
      <alignment horizontal="right"/>
    </xf>
    <xf numFmtId="0" fontId="5" fillId="0" borderId="2" xfId="0" applyFont="1" applyBorder="1" applyAlignment="1">
      <alignment horizontal="centerContinuous"/>
    </xf>
  </cellXfs>
  <cellStyles count="5">
    <cellStyle name="Comma" xfId="1" builtinId="3"/>
    <cellStyle name="Currency" xfId="2" builtinId="4"/>
    <cellStyle name="Input" xfId="4" builtinId="20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Purchased at Various Price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'Price vs. Demand'!$C$5</c:f>
              <c:strCache>
                <c:ptCount val="1"/>
                <c:pt idx="0">
                  <c:v>% Purchased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1.0277029610251255E-3"/>
                  <c:y val="-0.10107283464566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'Price vs. Demand'!$B$6:$B$26</c:f>
              <c:numCache>
                <c:formatCode>_("$"* #,##0.00_);_("$"* \(#,##0.00\);_("$"* "-"??_);_(@_)</c:formatCode>
                <c:ptCount val="2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</c:numCache>
            </c:numRef>
          </c:xVal>
          <c:yVal>
            <c:numRef>
              <c:f>'Price vs. Demand'!$C$6:$C$26</c:f>
              <c:numCache>
                <c:formatCode>0%</c:formatCode>
                <c:ptCount val="21"/>
                <c:pt idx="0">
                  <c:v>0.65</c:v>
                </c:pt>
                <c:pt idx="1">
                  <c:v>0.5</c:v>
                </c:pt>
                <c:pt idx="2">
                  <c:v>0.4</c:v>
                </c:pt>
                <c:pt idx="3">
                  <c:v>0.32</c:v>
                </c:pt>
                <c:pt idx="4">
                  <c:v>0.25</c:v>
                </c:pt>
                <c:pt idx="5">
                  <c:v>0.2</c:v>
                </c:pt>
                <c:pt idx="6">
                  <c:v>0.16</c:v>
                </c:pt>
                <c:pt idx="7">
                  <c:v>0.13</c:v>
                </c:pt>
                <c:pt idx="8">
                  <c:v>0.11</c:v>
                </c:pt>
                <c:pt idx="9">
                  <c:v>9.5000000000000001E-2</c:v>
                </c:pt>
                <c:pt idx="10">
                  <c:v>0.08</c:v>
                </c:pt>
                <c:pt idx="11">
                  <c:v>7.0000000000000007E-2</c:v>
                </c:pt>
                <c:pt idx="12">
                  <c:v>6.3E-2</c:v>
                </c:pt>
                <c:pt idx="13">
                  <c:v>5.8000000000000003E-2</c:v>
                </c:pt>
                <c:pt idx="14">
                  <c:v>5.2999999999999999E-2</c:v>
                </c:pt>
                <c:pt idx="15">
                  <c:v>4.9000000000000002E-2</c:v>
                </c:pt>
                <c:pt idx="16">
                  <c:v>4.5999999999999999E-2</c:v>
                </c:pt>
                <c:pt idx="17">
                  <c:v>4.3999999999999997E-2</c:v>
                </c:pt>
                <c:pt idx="18">
                  <c:v>4.2999999999999997E-2</c:v>
                </c:pt>
                <c:pt idx="19">
                  <c:v>4.2000000000000003E-2</c:v>
                </c:pt>
                <c:pt idx="20">
                  <c:v>4.1000000000000002E-2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D-4FD3-9758-DB6C8AFE0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267360"/>
        <c:axId val="1619844672"/>
      </c:scatterChart>
      <c:valAx>
        <c:axId val="156626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844672"/>
        <c:crosses val="autoZero"/>
        <c:crossBetween val="midCat"/>
      </c:valAx>
      <c:valAx>
        <c:axId val="161984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26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463550</xdr:colOff>
      <xdr:row>27</xdr:row>
      <xdr:rowOff>58737</xdr:rowOff>
    </xdr:from>
    <xdr:to>
      <xdr:col>8</xdr:col>
      <xdr:colOff>76200</xdr:colOff>
      <xdr:row>44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8B2D60-7AAF-44FA-ADB8-013A2EFA2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3342X765"/>
  <dimension ref="B2:O36"/>
  <sheetViews>
    <sheetView showGridLines="0" tabSelected="1" workbookViewId="0">
      <selection activeCell="I57" sqref="I57"/>
    </sheetView>
  </sheetViews>
  <sheetFormatPr defaultColWidth="9.1796875" defaultRowHeight="12.5"/>
  <cols>
    <col min="1" max="1" width="4.90625" style="2" customWidth="1"/>
    <col min="2" max="2" width="14.81640625" style="2" customWidth="1"/>
    <col min="3" max="3" width="13.1796875" style="2" bestFit="1" customWidth="1"/>
    <col min="4" max="4" width="22.81640625" style="2" bestFit="1" customWidth="1"/>
    <col min="5" max="5" width="15.26953125" style="2" bestFit="1" customWidth="1"/>
    <col min="6" max="7" width="10.453125" style="2" bestFit="1" customWidth="1"/>
    <col min="8" max="8" width="12" style="2" bestFit="1" customWidth="1"/>
    <col min="9" max="9" width="12" style="2" customWidth="1"/>
    <col min="10" max="10" width="6.08984375" style="2" customWidth="1"/>
    <col min="11" max="12" width="14.453125" style="2" customWidth="1"/>
    <col min="13" max="13" width="5.6328125" style="2" customWidth="1"/>
    <col min="14" max="15" width="14.453125" style="2" customWidth="1"/>
    <col min="16" max="16384" width="9.1796875" style="2"/>
  </cols>
  <sheetData>
    <row r="2" spans="2:15" ht="13">
      <c r="B2" s="21" t="s">
        <v>15</v>
      </c>
      <c r="C2" s="21"/>
      <c r="D2" s="21"/>
      <c r="E2" s="21"/>
      <c r="F2" s="21"/>
      <c r="G2" s="21"/>
      <c r="H2" s="21"/>
      <c r="K2" s="18" t="s">
        <v>17</v>
      </c>
      <c r="L2" s="18"/>
      <c r="M2" s="18"/>
      <c r="N2" s="18"/>
      <c r="O2" s="18"/>
    </row>
    <row r="3" spans="2:15" ht="13">
      <c r="I3" s="1"/>
    </row>
    <row r="4" spans="2:15" ht="13">
      <c r="B4" s="17" t="s">
        <v>16</v>
      </c>
      <c r="C4" s="17"/>
      <c r="D4" s="1"/>
      <c r="E4" s="1"/>
      <c r="F4" s="1"/>
      <c r="G4" s="1"/>
      <c r="H4" s="1"/>
      <c r="I4" s="1"/>
      <c r="K4" s="19" t="s">
        <v>23</v>
      </c>
      <c r="L4" s="19"/>
      <c r="N4" s="19" t="s">
        <v>24</v>
      </c>
      <c r="O4" s="19"/>
    </row>
    <row r="5" spans="2:15" ht="13">
      <c r="B5" s="3" t="s">
        <v>0</v>
      </c>
      <c r="C5" s="4" t="s">
        <v>1</v>
      </c>
      <c r="D5" s="4" t="s">
        <v>10</v>
      </c>
      <c r="E5" s="4" t="s">
        <v>2</v>
      </c>
      <c r="F5" s="4" t="s">
        <v>3</v>
      </c>
      <c r="G5" s="4" t="s">
        <v>4</v>
      </c>
      <c r="H5" s="4" t="s">
        <v>9</v>
      </c>
      <c r="I5" s="20"/>
      <c r="K5" s="18" t="s">
        <v>18</v>
      </c>
      <c r="L5" s="18"/>
      <c r="N5" s="18" t="s">
        <v>18</v>
      </c>
      <c r="O5" s="18"/>
    </row>
    <row r="6" spans="2:15">
      <c r="B6" s="5">
        <v>5</v>
      </c>
      <c r="C6" s="6">
        <v>0.65</v>
      </c>
      <c r="D6" s="14">
        <f t="shared" ref="D6:D26" si="0">$C$35*$B6^$C$36</f>
        <v>0.69292408674781014</v>
      </c>
      <c r="E6" s="7">
        <f>D6*$C$30</f>
        <v>69292.408674781007</v>
      </c>
      <c r="F6" s="13">
        <f>B6*E6</f>
        <v>346462.04337390501</v>
      </c>
      <c r="G6" s="13">
        <f>((B6-$C$29)*E6)</f>
        <v>0</v>
      </c>
      <c r="H6" s="8">
        <f>G6/F6</f>
        <v>0</v>
      </c>
      <c r="I6" s="8"/>
      <c r="K6" s="15" t="s">
        <v>19</v>
      </c>
      <c r="L6" s="16">
        <v>5</v>
      </c>
      <c r="N6" s="15" t="s">
        <v>19</v>
      </c>
      <c r="O6" s="16">
        <v>5</v>
      </c>
    </row>
    <row r="7" spans="2:15">
      <c r="B7" s="5">
        <v>6</v>
      </c>
      <c r="C7" s="6">
        <v>0.5</v>
      </c>
      <c r="D7" s="14">
        <f t="shared" si="0"/>
        <v>0.49255912094665855</v>
      </c>
      <c r="E7" s="7">
        <f t="shared" ref="E7:E26" si="1">D7*$C$30</f>
        <v>49255.912094665851</v>
      </c>
      <c r="F7" s="13">
        <f t="shared" ref="F7:F26" si="2">B7*E7</f>
        <v>295535.47256799508</v>
      </c>
      <c r="G7" s="13">
        <f t="shared" ref="G7:G26" si="3">((B7-$C$29)*E7)</f>
        <v>49255.912094665851</v>
      </c>
      <c r="H7" s="8">
        <f t="shared" ref="H7:H26" si="4">G7/F7</f>
        <v>0.16666666666666669</v>
      </c>
      <c r="I7" s="8"/>
      <c r="K7" s="15" t="s">
        <v>20</v>
      </c>
      <c r="L7" s="16">
        <v>7</v>
      </c>
      <c r="N7" s="15" t="s">
        <v>20</v>
      </c>
      <c r="O7" s="16">
        <v>10.733944756696649</v>
      </c>
    </row>
    <row r="8" spans="2:15">
      <c r="B8" s="5">
        <v>7</v>
      </c>
      <c r="C8" s="6">
        <v>0.4</v>
      </c>
      <c r="D8" s="14">
        <f t="shared" si="0"/>
        <v>0.36909144187581711</v>
      </c>
      <c r="E8" s="7">
        <f t="shared" si="1"/>
        <v>36909.144187581711</v>
      </c>
      <c r="F8" s="13">
        <f t="shared" si="2"/>
        <v>258364.00931307196</v>
      </c>
      <c r="G8" s="13">
        <f t="shared" si="3"/>
        <v>73818.288375163422</v>
      </c>
      <c r="H8" s="8">
        <f t="shared" si="4"/>
        <v>0.28571428571428575</v>
      </c>
      <c r="I8" s="8"/>
      <c r="K8" s="15" t="s">
        <v>21</v>
      </c>
      <c r="L8" s="14">
        <f>$C$35*$L7^$C$36</f>
        <v>0.36909144187581711</v>
      </c>
      <c r="N8" s="15" t="s">
        <v>21</v>
      </c>
      <c r="O8" s="14">
        <f>$C$35*$O7^$C$36</f>
        <v>0.16579674199095468</v>
      </c>
    </row>
    <row r="9" spans="2:15">
      <c r="B9" s="5">
        <v>8</v>
      </c>
      <c r="C9" s="6">
        <v>0.32</v>
      </c>
      <c r="D9" s="14">
        <f t="shared" si="0"/>
        <v>0.28745710707060823</v>
      </c>
      <c r="E9" s="7">
        <f t="shared" si="1"/>
        <v>28745.710707060822</v>
      </c>
      <c r="F9" s="13">
        <f t="shared" si="2"/>
        <v>229965.68565648657</v>
      </c>
      <c r="G9" s="13">
        <f t="shared" si="3"/>
        <v>86237.132121182469</v>
      </c>
      <c r="H9" s="8">
        <f t="shared" si="4"/>
        <v>0.375</v>
      </c>
      <c r="I9" s="8"/>
      <c r="K9" s="15" t="s">
        <v>22</v>
      </c>
      <c r="L9" s="7">
        <f>L8*$C$30</f>
        <v>36909.144187581711</v>
      </c>
      <c r="N9" s="15" t="s">
        <v>22</v>
      </c>
      <c r="O9" s="7">
        <f>O8*$C$30</f>
        <v>16579.674199095469</v>
      </c>
    </row>
    <row r="10" spans="2:15">
      <c r="B10" s="5">
        <v>9</v>
      </c>
      <c r="C10" s="6">
        <v>0.25</v>
      </c>
      <c r="D10" s="14">
        <f t="shared" si="0"/>
        <v>0.23057675801164021</v>
      </c>
      <c r="E10" s="7">
        <f t="shared" si="1"/>
        <v>23057.67580116402</v>
      </c>
      <c r="F10" s="13">
        <f t="shared" si="2"/>
        <v>207519.08221047616</v>
      </c>
      <c r="G10" s="13">
        <f t="shared" si="3"/>
        <v>92230.703204656078</v>
      </c>
      <c r="H10" s="8">
        <f t="shared" si="4"/>
        <v>0.44444444444444448</v>
      </c>
      <c r="I10" s="8"/>
      <c r="K10" s="15" t="s">
        <v>4</v>
      </c>
      <c r="L10" s="16">
        <f>L9*(L7-L6)</f>
        <v>73818.288375163422</v>
      </c>
      <c r="N10" s="15" t="s">
        <v>4</v>
      </c>
      <c r="O10" s="16">
        <f>O9*(O7-O6)</f>
        <v>95066.935941642179</v>
      </c>
    </row>
    <row r="11" spans="2:15">
      <c r="B11" s="5">
        <v>10</v>
      </c>
      <c r="C11" s="6">
        <v>0.2</v>
      </c>
      <c r="D11" s="14">
        <f t="shared" si="0"/>
        <v>0.18930300422121596</v>
      </c>
      <c r="E11" s="7">
        <f t="shared" si="1"/>
        <v>18930.300422121596</v>
      </c>
      <c r="F11" s="13">
        <f t="shared" si="2"/>
        <v>189303.00422121596</v>
      </c>
      <c r="G11" s="13">
        <f t="shared" si="3"/>
        <v>94651.50211060798</v>
      </c>
      <c r="H11" s="8">
        <f t="shared" si="4"/>
        <v>0.5</v>
      </c>
      <c r="I11" s="8"/>
    </row>
    <row r="12" spans="2:15">
      <c r="B12" s="5">
        <v>11</v>
      </c>
      <c r="C12" s="6">
        <v>0.16</v>
      </c>
      <c r="D12" s="14">
        <f t="shared" si="0"/>
        <v>0.15836908211415465</v>
      </c>
      <c r="E12" s="7">
        <f t="shared" si="1"/>
        <v>15836.908211415464</v>
      </c>
      <c r="F12" s="13">
        <f t="shared" si="2"/>
        <v>174205.99032557011</v>
      </c>
      <c r="G12" s="13">
        <f t="shared" si="3"/>
        <v>95021.449268492783</v>
      </c>
      <c r="H12" s="8">
        <f t="shared" si="4"/>
        <v>0.54545454545454541</v>
      </c>
      <c r="I12" s="8"/>
    </row>
    <row r="13" spans="2:15" ht="13">
      <c r="B13" s="5">
        <v>12</v>
      </c>
      <c r="C13" s="6">
        <v>0.13</v>
      </c>
      <c r="D13" s="14">
        <f t="shared" si="0"/>
        <v>0.13456441064041047</v>
      </c>
      <c r="E13" s="7">
        <f t="shared" si="1"/>
        <v>13456.441064041048</v>
      </c>
      <c r="F13" s="13">
        <f t="shared" si="2"/>
        <v>161477.29276849257</v>
      </c>
      <c r="G13" s="13">
        <f t="shared" si="3"/>
        <v>94195.087448287333</v>
      </c>
      <c r="H13" s="8">
        <f t="shared" si="4"/>
        <v>0.58333333333333337</v>
      </c>
      <c r="I13" s="8"/>
      <c r="K13" s="18" t="s">
        <v>25</v>
      </c>
      <c r="L13" s="18"/>
      <c r="N13" s="18" t="s">
        <v>25</v>
      </c>
      <c r="O13" s="18"/>
    </row>
    <row r="14" spans="2:15">
      <c r="B14" s="5">
        <v>13</v>
      </c>
      <c r="C14" s="6">
        <v>0.11</v>
      </c>
      <c r="D14" s="14">
        <f t="shared" si="0"/>
        <v>0.11583920030461227</v>
      </c>
      <c r="E14" s="7">
        <f t="shared" si="1"/>
        <v>11583.920030461228</v>
      </c>
      <c r="F14" s="13">
        <f t="shared" si="2"/>
        <v>150590.96039599596</v>
      </c>
      <c r="G14" s="13">
        <f t="shared" si="3"/>
        <v>92671.360243689822</v>
      </c>
      <c r="H14" s="8">
        <f t="shared" si="4"/>
        <v>0.61538461538461542</v>
      </c>
      <c r="I14" s="8"/>
      <c r="K14" s="15" t="s">
        <v>19</v>
      </c>
      <c r="L14" s="16">
        <v>4.5</v>
      </c>
      <c r="N14" s="15" t="s">
        <v>19</v>
      </c>
      <c r="O14" s="16">
        <v>4.5</v>
      </c>
    </row>
    <row r="15" spans="2:15">
      <c r="B15" s="5">
        <v>14</v>
      </c>
      <c r="C15" s="6">
        <v>9.5000000000000001E-2</v>
      </c>
      <c r="D15" s="14">
        <f t="shared" si="0"/>
        <v>0.10083372784364156</v>
      </c>
      <c r="E15" s="7">
        <f t="shared" si="1"/>
        <v>10083.372784364155</v>
      </c>
      <c r="F15" s="13">
        <f t="shared" si="2"/>
        <v>141167.21898109818</v>
      </c>
      <c r="G15" s="13">
        <f t="shared" si="3"/>
        <v>90750.355059277397</v>
      </c>
      <c r="H15" s="8">
        <f t="shared" si="4"/>
        <v>0.64285714285714279</v>
      </c>
      <c r="I15" s="8"/>
      <c r="K15" s="15" t="s">
        <v>20</v>
      </c>
      <c r="L15" s="16">
        <v>7</v>
      </c>
      <c r="N15" s="15" t="s">
        <v>20</v>
      </c>
      <c r="O15" s="16">
        <v>7.819551392888032</v>
      </c>
    </row>
    <row r="16" spans="2:15">
      <c r="B16" s="5">
        <v>15</v>
      </c>
      <c r="C16" s="6">
        <v>0.08</v>
      </c>
      <c r="D16" s="14">
        <f t="shared" si="0"/>
        <v>8.8616515538890578E-2</v>
      </c>
      <c r="E16" s="7">
        <f t="shared" si="1"/>
        <v>8861.6515538890581</v>
      </c>
      <c r="F16" s="13">
        <f t="shared" si="2"/>
        <v>132924.77330833586</v>
      </c>
      <c r="G16" s="13">
        <f t="shared" si="3"/>
        <v>88616.515538890584</v>
      </c>
      <c r="H16" s="8">
        <f t="shared" si="4"/>
        <v>0.66666666666666674</v>
      </c>
      <c r="I16" s="8"/>
      <c r="K16" s="15" t="s">
        <v>21</v>
      </c>
      <c r="L16" s="14">
        <f>$C$35*$L15^$C$36</f>
        <v>0.36909144187581711</v>
      </c>
      <c r="N16" s="15" t="s">
        <v>21</v>
      </c>
      <c r="O16" s="14">
        <f>$C$35*$O15^$C$36</f>
        <v>0.29999989649220055</v>
      </c>
    </row>
    <row r="17" spans="2:15">
      <c r="B17" s="5">
        <v>16</v>
      </c>
      <c r="C17" s="6">
        <v>7.0000000000000007E-2</v>
      </c>
      <c r="D17" s="14">
        <f t="shared" si="0"/>
        <v>7.8531681888279928E-2</v>
      </c>
      <c r="E17" s="7">
        <f t="shared" si="1"/>
        <v>7853.1681888279927</v>
      </c>
      <c r="F17" s="13">
        <f t="shared" si="2"/>
        <v>125650.69102124788</v>
      </c>
      <c r="G17" s="13">
        <f t="shared" si="3"/>
        <v>86384.850077107927</v>
      </c>
      <c r="H17" s="8">
        <f t="shared" si="4"/>
        <v>0.68750000000000011</v>
      </c>
      <c r="I17" s="8"/>
      <c r="K17" s="15" t="s">
        <v>22</v>
      </c>
      <c r="L17" s="7">
        <f>L16*$C$30</f>
        <v>36909.144187581711</v>
      </c>
      <c r="N17" s="15" t="s">
        <v>22</v>
      </c>
      <c r="O17" s="7">
        <f>O16*$C$30</f>
        <v>29999.989649220053</v>
      </c>
    </row>
    <row r="18" spans="2:15">
      <c r="B18" s="5">
        <v>17</v>
      </c>
      <c r="C18" s="6">
        <v>6.3E-2</v>
      </c>
      <c r="D18" s="14">
        <f t="shared" si="0"/>
        <v>7.010631266444263E-2</v>
      </c>
      <c r="E18" s="7">
        <f t="shared" si="1"/>
        <v>7010.631266444263</v>
      </c>
      <c r="F18" s="13">
        <f t="shared" si="2"/>
        <v>119180.73152955247</v>
      </c>
      <c r="G18" s="13">
        <f t="shared" si="3"/>
        <v>84127.575197331156</v>
      </c>
      <c r="H18" s="8">
        <f t="shared" si="4"/>
        <v>0.70588235294117641</v>
      </c>
      <c r="I18" s="8"/>
      <c r="K18" s="15" t="s">
        <v>4</v>
      </c>
      <c r="L18" s="16">
        <f>L17*(L15-L14)</f>
        <v>92272.860468954284</v>
      </c>
      <c r="N18" s="15" t="s">
        <v>4</v>
      </c>
      <c r="O18" s="16">
        <f>O17*(O15-O14)</f>
        <v>99586.507426694967</v>
      </c>
    </row>
    <row r="19" spans="2:15">
      <c r="B19" s="5">
        <v>18</v>
      </c>
      <c r="C19" s="6">
        <v>5.8000000000000003E-2</v>
      </c>
      <c r="D19" s="14">
        <f t="shared" si="0"/>
        <v>6.2992287077296968E-2</v>
      </c>
      <c r="E19" s="7">
        <f t="shared" si="1"/>
        <v>6299.2287077296969</v>
      </c>
      <c r="F19" s="13">
        <f t="shared" si="2"/>
        <v>113386.11673913454</v>
      </c>
      <c r="G19" s="13">
        <f t="shared" si="3"/>
        <v>81889.973200486056</v>
      </c>
      <c r="H19" s="8">
        <f t="shared" si="4"/>
        <v>0.72222222222222221</v>
      </c>
      <c r="I19" s="8"/>
    </row>
    <row r="20" spans="2:15">
      <c r="B20" s="5">
        <v>19</v>
      </c>
      <c r="C20" s="6">
        <v>5.2999999999999999E-2</v>
      </c>
      <c r="D20" s="14">
        <f t="shared" si="0"/>
        <v>5.6928634286817013E-2</v>
      </c>
      <c r="E20" s="7">
        <f t="shared" si="1"/>
        <v>5692.8634286817014</v>
      </c>
      <c r="F20" s="13">
        <f t="shared" si="2"/>
        <v>108164.40514495232</v>
      </c>
      <c r="G20" s="13">
        <f t="shared" si="3"/>
        <v>79700.088001543816</v>
      </c>
      <c r="H20" s="8">
        <f t="shared" si="4"/>
        <v>0.73684210526315785</v>
      </c>
      <c r="I20" s="8"/>
    </row>
    <row r="21" spans="2:15">
      <c r="B21" s="5">
        <v>20</v>
      </c>
      <c r="C21" s="6">
        <v>4.9000000000000002E-2</v>
      </c>
      <c r="D21" s="14">
        <f t="shared" si="0"/>
        <v>5.1716527239469616E-2</v>
      </c>
      <c r="E21" s="7">
        <f t="shared" si="1"/>
        <v>5171.6527239469615</v>
      </c>
      <c r="F21" s="13">
        <f t="shared" si="2"/>
        <v>103433.05447893923</v>
      </c>
      <c r="G21" s="13">
        <f t="shared" si="3"/>
        <v>77574.790859204426</v>
      </c>
      <c r="H21" s="8">
        <f t="shared" si="4"/>
        <v>0.75</v>
      </c>
      <c r="I21" s="8"/>
    </row>
    <row r="22" spans="2:15" ht="13">
      <c r="B22" s="5">
        <v>21</v>
      </c>
      <c r="C22" s="6">
        <v>4.5999999999999999E-2</v>
      </c>
      <c r="D22" s="14">
        <f t="shared" si="0"/>
        <v>4.7202281057612906E-2</v>
      </c>
      <c r="E22" s="7">
        <f t="shared" si="1"/>
        <v>4720.2281057612909</v>
      </c>
      <c r="F22" s="13">
        <f t="shared" si="2"/>
        <v>99124.79022098711</v>
      </c>
      <c r="G22" s="13">
        <f t="shared" si="3"/>
        <v>75523.649692180654</v>
      </c>
      <c r="H22" s="8">
        <f t="shared" si="4"/>
        <v>0.76190476190476186</v>
      </c>
      <c r="I22" s="8"/>
      <c r="K22" s="18" t="s">
        <v>26</v>
      </c>
      <c r="L22" s="18"/>
      <c r="N22" s="18" t="s">
        <v>26</v>
      </c>
      <c r="O22" s="18"/>
    </row>
    <row r="23" spans="2:15">
      <c r="B23" s="5">
        <v>22</v>
      </c>
      <c r="C23" s="6">
        <v>4.3999999999999997E-2</v>
      </c>
      <c r="D23" s="14">
        <f t="shared" si="0"/>
        <v>4.3265551874049714E-2</v>
      </c>
      <c r="E23" s="7">
        <f t="shared" si="1"/>
        <v>4326.5551874049715</v>
      </c>
      <c r="F23" s="13">
        <f t="shared" si="2"/>
        <v>95184.214122909369</v>
      </c>
      <c r="G23" s="13">
        <f t="shared" si="3"/>
        <v>73551.438185884515</v>
      </c>
      <c r="H23" s="8">
        <f t="shared" si="4"/>
        <v>0.77272727272727271</v>
      </c>
      <c r="I23" s="8"/>
      <c r="K23" s="15" t="s">
        <v>19</v>
      </c>
      <c r="L23" s="16">
        <v>4</v>
      </c>
      <c r="N23" s="15" t="s">
        <v>19</v>
      </c>
      <c r="O23" s="16">
        <v>4</v>
      </c>
    </row>
    <row r="24" spans="2:15">
      <c r="B24" s="5">
        <v>23</v>
      </c>
      <c r="C24" s="6">
        <v>4.2999999999999997E-2</v>
      </c>
      <c r="D24" s="14">
        <f t="shared" si="0"/>
        <v>3.9810991802954027E-2</v>
      </c>
      <c r="E24" s="7">
        <f t="shared" si="1"/>
        <v>3981.0991802954027</v>
      </c>
      <c r="F24" s="13">
        <f t="shared" si="2"/>
        <v>91565.281146794267</v>
      </c>
      <c r="G24" s="13">
        <f t="shared" si="3"/>
        <v>71659.785245317253</v>
      </c>
      <c r="H24" s="8">
        <f t="shared" si="4"/>
        <v>0.78260869565217395</v>
      </c>
      <c r="I24" s="8"/>
      <c r="K24" s="15" t="s">
        <v>20</v>
      </c>
      <c r="L24" s="16">
        <v>7</v>
      </c>
      <c r="N24" s="15" t="s">
        <v>20</v>
      </c>
      <c r="O24" s="16">
        <v>5.9521362701547975</v>
      </c>
    </row>
    <row r="25" spans="2:15">
      <c r="B25" s="5">
        <v>24</v>
      </c>
      <c r="C25" s="6">
        <v>4.2000000000000003E-2</v>
      </c>
      <c r="D25" s="14">
        <f t="shared" si="0"/>
        <v>3.676224810576998E-2</v>
      </c>
      <c r="E25" s="7">
        <f t="shared" si="1"/>
        <v>3676.2248105769982</v>
      </c>
      <c r="F25" s="13">
        <f t="shared" si="2"/>
        <v>88229.395453847959</v>
      </c>
      <c r="G25" s="13">
        <f t="shared" si="3"/>
        <v>69848.271400962971</v>
      </c>
      <c r="H25" s="8">
        <f t="shared" si="4"/>
        <v>0.79166666666666674</v>
      </c>
      <c r="I25" s="8"/>
      <c r="K25" s="15" t="s">
        <v>21</v>
      </c>
      <c r="L25" s="14">
        <f>$C$35*$L24^$C$36</f>
        <v>0.36909144187581711</v>
      </c>
      <c r="N25" s="15" t="s">
        <v>21</v>
      </c>
      <c r="O25" s="14">
        <f>$C$35*$O24^$C$36</f>
        <v>0.4999998821315233</v>
      </c>
    </row>
    <row r="26" spans="2:15">
      <c r="B26" s="5">
        <v>25</v>
      </c>
      <c r="C26" s="6">
        <v>4.1000000000000002E-2</v>
      </c>
      <c r="D26" s="14">
        <f t="shared" si="0"/>
        <v>3.4057581926180067E-2</v>
      </c>
      <c r="E26" s="7">
        <f t="shared" si="1"/>
        <v>3405.7581926180069</v>
      </c>
      <c r="F26" s="13">
        <f t="shared" si="2"/>
        <v>85143.954815450168</v>
      </c>
      <c r="G26" s="13">
        <f t="shared" si="3"/>
        <v>68115.163852360143</v>
      </c>
      <c r="H26" s="8">
        <f t="shared" si="4"/>
        <v>0.80000000000000016</v>
      </c>
      <c r="I26" s="8"/>
      <c r="K26" s="15" t="s">
        <v>22</v>
      </c>
      <c r="L26" s="7">
        <f>L25*$C$30</f>
        <v>36909.144187581711</v>
      </c>
      <c r="N26" s="15" t="s">
        <v>22</v>
      </c>
      <c r="O26" s="7">
        <f>O25*$C$30</f>
        <v>49999.988213152326</v>
      </c>
    </row>
    <row r="27" spans="2:15">
      <c r="K27" s="15" t="s">
        <v>4</v>
      </c>
      <c r="L27" s="16">
        <f>L26*(L24-L23)</f>
        <v>110727.43256274513</v>
      </c>
      <c r="N27" s="15" t="s">
        <v>4</v>
      </c>
      <c r="O27" s="16">
        <f>O26*(O24-O23)</f>
        <v>97606.790498207018</v>
      </c>
    </row>
    <row r="28" spans="2:15" ht="13">
      <c r="B28" s="9" t="s">
        <v>6</v>
      </c>
    </row>
    <row r="29" spans="2:15">
      <c r="B29" s="2" t="s">
        <v>5</v>
      </c>
      <c r="C29" s="10">
        <v>5</v>
      </c>
    </row>
    <row r="30" spans="2:15">
      <c r="B30" s="2" t="s">
        <v>7</v>
      </c>
      <c r="C30" s="11">
        <v>100000</v>
      </c>
    </row>
    <row r="31" spans="2:15">
      <c r="B31" s="2" t="s">
        <v>8</v>
      </c>
      <c r="C31" s="10">
        <v>5</v>
      </c>
    </row>
    <row r="33" spans="2:3" ht="13">
      <c r="B33" s="9" t="s">
        <v>14</v>
      </c>
    </row>
    <row r="34" spans="2:3">
      <c r="B34" s="2" t="s">
        <v>11</v>
      </c>
    </row>
    <row r="35" spans="2:3">
      <c r="B35" s="2" t="s">
        <v>12</v>
      </c>
      <c r="C35" s="12">
        <v>14.098000000000001</v>
      </c>
    </row>
    <row r="36" spans="2:3">
      <c r="B36" s="2" t="s">
        <v>13</v>
      </c>
      <c r="C36" s="12">
        <v>-1.8720000000000001</v>
      </c>
    </row>
  </sheetData>
  <mergeCells count="10">
    <mergeCell ref="K22:L22"/>
    <mergeCell ref="N22:O22"/>
    <mergeCell ref="K4:L4"/>
    <mergeCell ref="N4:O4"/>
    <mergeCell ref="K2:O2"/>
    <mergeCell ref="B4:C4"/>
    <mergeCell ref="K5:L5"/>
    <mergeCell ref="N5:O5"/>
    <mergeCell ref="K13:L13"/>
    <mergeCell ref="N13:O13"/>
  </mergeCells>
  <conditionalFormatting sqref="G6:G2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vs. Demand</vt:lpstr>
    </vt:vector>
  </TitlesOfParts>
  <Company>Syracuse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Harter</dc:creator>
  <cp:lastModifiedBy>Courtney Smith</cp:lastModifiedBy>
  <dcterms:created xsi:type="dcterms:W3CDTF">2014-02-20T19:33:25Z</dcterms:created>
  <dcterms:modified xsi:type="dcterms:W3CDTF">2019-05-15T13:30:23Z</dcterms:modified>
</cp:coreProperties>
</file>